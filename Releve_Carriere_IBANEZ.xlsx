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amienodet/Downloads/"/>
    </mc:Choice>
  </mc:AlternateContent>
  <xr:revisionPtr revIDLastSave="0" documentId="13_ncr:1_{2804EE64-CC72-3844-BD8C-F972330BDA98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Synthèse" sheetId="1" r:id="rId1"/>
    <sheet name="Détail par année" sheetId="2" r:id="rId2"/>
    <sheet name="Carrière détaillée" sheetId="3" r:id="rId3"/>
    <sheet name="Infos régim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2" l="1"/>
  <c r="C46" i="2"/>
  <c r="B46" i="2"/>
  <c r="B24" i="1"/>
  <c r="B25" i="1" s="1"/>
  <c r="B13" i="1"/>
  <c r="B12" i="1"/>
</calcChain>
</file>

<file path=xl/sharedStrings.xml><?xml version="1.0" encoding="utf-8"?>
<sst xmlns="http://schemas.openxmlformats.org/spreadsheetml/2006/main" count="200" uniqueCount="152">
  <si>
    <t>RELEVÉ DE CARRIÈRE - SYNTHÈSE</t>
  </si>
  <si>
    <t>NOM</t>
  </si>
  <si>
    <t>Numéro de Sécurité sociale</t>
  </si>
  <si>
    <t>Date du relevé</t>
  </si>
  <si>
    <t>01/01/2025</t>
  </si>
  <si>
    <t>Âge légal de départ</t>
  </si>
  <si>
    <t>63 ans</t>
  </si>
  <si>
    <t>DROITS À LA RETRAITE</t>
  </si>
  <si>
    <t>Trimestres requis pour taux plein</t>
  </si>
  <si>
    <t>Trimestres enregistrés</t>
  </si>
  <si>
    <t>Trimestres à obtenir</t>
  </si>
  <si>
    <t>Pourcentage accompli</t>
  </si>
  <si>
    <t>RÉGIMES DE RETRAITE</t>
  </si>
  <si>
    <t>Régime</t>
  </si>
  <si>
    <t>Type</t>
  </si>
  <si>
    <t>Total</t>
  </si>
  <si>
    <t>Valeur unitaire</t>
  </si>
  <si>
    <t>L'Assurance retraite</t>
  </si>
  <si>
    <t>Trimestres</t>
  </si>
  <si>
    <t>-</t>
  </si>
  <si>
    <t>MSA</t>
  </si>
  <si>
    <t>Inclus ci-dessus</t>
  </si>
  <si>
    <t>Agirc-Arrco</t>
  </si>
  <si>
    <t>Points</t>
  </si>
  <si>
    <t>1,4386 €</t>
  </si>
  <si>
    <t>ESTIMATION MENSUELLE BRUTE</t>
  </si>
  <si>
    <t>Agirc-Arrco (estimation)</t>
  </si>
  <si>
    <t>TOTAL MENSUEL ESTIMÉ</t>
  </si>
  <si>
    <t>Note</t>
  </si>
  <si>
    <t>Contrat épargne retraite en cours</t>
  </si>
  <si>
    <t>DÉTAIL PAR ANNÉE</t>
  </si>
  <si>
    <t>Année</t>
  </si>
  <si>
    <t>Trimestres totaux</t>
  </si>
  <si>
    <t>L'Assurance retraite/MSA</t>
  </si>
  <si>
    <t>Points Agirc-Arrco</t>
  </si>
  <si>
    <t>Notes</t>
  </si>
  <si>
    <t>Revenu insuffisant (A)</t>
  </si>
  <si>
    <t>TOTAL</t>
  </si>
  <si>
    <t>DÉTAIL DE LA CARRIÈRE</t>
  </si>
  <si>
    <t>Employeur</t>
  </si>
  <si>
    <t>Date début</t>
  </si>
  <si>
    <t>Date fin</t>
  </si>
  <si>
    <t>Revenus</t>
  </si>
  <si>
    <t>Régime(s)</t>
  </si>
  <si>
    <t>29/06/1982</t>
  </si>
  <si>
    <t>31/07/1982</t>
  </si>
  <si>
    <t>4 000 FRF</t>
  </si>
  <si>
    <t>L'Assurance retraite, Agirc-Arrco</t>
  </si>
  <si>
    <t>ACTIVITÉ SALARIÉE</t>
  </si>
  <si>
    <t>01/01/1983</t>
  </si>
  <si>
    <t>31/12/1983</t>
  </si>
  <si>
    <t>400 FRF</t>
  </si>
  <si>
    <t>01/01/1984</t>
  </si>
  <si>
    <t>31/12/1984</t>
  </si>
  <si>
    <t>3 545 FRF</t>
  </si>
  <si>
    <t>30/07/1984</t>
  </si>
  <si>
    <t>25/08/1984</t>
  </si>
  <si>
    <t>01/01/1986</t>
  </si>
  <si>
    <t>31/12/1987</t>
  </si>
  <si>
    <t>40 703 FRF</t>
  </si>
  <si>
    <t>22/11/1986</t>
  </si>
  <si>
    <t>31/12/1993</t>
  </si>
  <si>
    <t>572 359 FRF</t>
  </si>
  <si>
    <t>01/01/1988</t>
  </si>
  <si>
    <t>721 325 FRF</t>
  </si>
  <si>
    <t>01/01/1994</t>
  </si>
  <si>
    <t>09/06/2001</t>
  </si>
  <si>
    <t>930 434 FRF</t>
  </si>
  <si>
    <t>CHÔMAGE</t>
  </si>
  <si>
    <t>01/01/2001</t>
  </si>
  <si>
    <t>31/12/2002</t>
  </si>
  <si>
    <t>CULTURA</t>
  </si>
  <si>
    <t>11/06/2001</t>
  </si>
  <si>
    <t>08/09/2001</t>
  </si>
  <si>
    <t>11 526 FRF</t>
  </si>
  <si>
    <t>SOC DIVERTISSEMENTS</t>
  </si>
  <si>
    <t>8 538 FRF</t>
  </si>
  <si>
    <t>18/03/2002</t>
  </si>
  <si>
    <t>21/07/2005</t>
  </si>
  <si>
    <t>80 636 €</t>
  </si>
  <si>
    <t>80 635 €</t>
  </si>
  <si>
    <t>01/09/2005</t>
  </si>
  <si>
    <t>17/12/2005</t>
  </si>
  <si>
    <t>5 560 €</t>
  </si>
  <si>
    <t>01/01/2006</t>
  </si>
  <si>
    <t>1 470 €</t>
  </si>
  <si>
    <t>16/04/2007</t>
  </si>
  <si>
    <t>30/09/2007</t>
  </si>
  <si>
    <t>9 740 €</t>
  </si>
  <si>
    <t>01/10/2007</t>
  </si>
  <si>
    <t>30/09/2008</t>
  </si>
  <si>
    <t>22 888 €</t>
  </si>
  <si>
    <t>S.A.S. GROUPE M</t>
  </si>
  <si>
    <t>01/10/2008</t>
  </si>
  <si>
    <t>31/12/2008</t>
  </si>
  <si>
    <t>6 290 €</t>
  </si>
  <si>
    <t>01/01/2009</t>
  </si>
  <si>
    <t>22/04/2010</t>
  </si>
  <si>
    <t>34 865 €</t>
  </si>
  <si>
    <t>01/04/2010</t>
  </si>
  <si>
    <t>06/04/2010</t>
  </si>
  <si>
    <t>493 €</t>
  </si>
  <si>
    <t>26/04/2010</t>
  </si>
  <si>
    <t>30/05/2013</t>
  </si>
  <si>
    <t>100 999 €</t>
  </si>
  <si>
    <t>03/06/2013</t>
  </si>
  <si>
    <t>30/06/2020</t>
  </si>
  <si>
    <t>343 874 €</t>
  </si>
  <si>
    <t>ACTIVITÉ SALARIÉE (MSA)</t>
  </si>
  <si>
    <t>31/12/2024</t>
  </si>
  <si>
    <t>445 489 €</t>
  </si>
  <si>
    <t>01/08/2020</t>
  </si>
  <si>
    <t>252 408 €</t>
  </si>
  <si>
    <t>INFORMATIONS SUR LES RÉGIMES DE RETRAITE</t>
  </si>
  <si>
    <t>Contact</t>
  </si>
  <si>
    <t>39 60 (poste fixe)</t>
  </si>
  <si>
    <t>09 71 10 39 60 (étranger/box/mobiles)</t>
  </si>
  <si>
    <t>Site web</t>
  </si>
  <si>
    <t>www.lassuranceretraite.fr</t>
  </si>
  <si>
    <t>MSA Loire-Atlantique-Vendée</t>
  </si>
  <si>
    <t>Adresse</t>
  </si>
  <si>
    <t>33 Bd Réaumur, 85933 La Roche sur Yon Cedex 9</t>
  </si>
  <si>
    <t>Téléphone</t>
  </si>
  <si>
    <t>02 51 36 88 88</t>
  </si>
  <si>
    <t>loire-atlantique-vendee.msa.fr/lfp</t>
  </si>
  <si>
    <t>Alliance Professionnelle Agirc-Arrco</t>
  </si>
  <si>
    <t>TSA 56663, 92621 GENNEVILLIERS CEDEX</t>
  </si>
  <si>
    <t>AGRICA</t>
  </si>
  <si>
    <t>0973 888 888 (non surtaxé)</t>
  </si>
  <si>
    <t>www.groupagrica.com</t>
  </si>
  <si>
    <t>www.agirc-arrco.fr</t>
  </si>
  <si>
    <t>Valeur du point</t>
  </si>
  <si>
    <t>1,4386 € au 01/11/2024</t>
  </si>
  <si>
    <t>Épargne retraite</t>
  </si>
  <si>
    <t>Contrats d'épargne retraite en cours</t>
  </si>
  <si>
    <t>PERCO, contrat Madelin, PERP, article 82...</t>
  </si>
  <si>
    <t>Info</t>
  </si>
  <si>
    <t>Consultez "Mes contrats épargne retraite"</t>
  </si>
  <si>
    <t>sur www.info-retraite.fr</t>
  </si>
  <si>
    <t>Laurent IBANEZ</t>
  </si>
  <si>
    <t>1 64 02 42 654 765</t>
  </si>
  <si>
    <t>SUPER U Trefouz</t>
  </si>
  <si>
    <t>ECOMARCHE</t>
  </si>
  <si>
    <t>LECLERC FRANCE</t>
  </si>
  <si>
    <t>LEROY MERLIN</t>
  </si>
  <si>
    <t>TRANSDEV MEDITERRANEE</t>
  </si>
  <si>
    <t>RESEAU BATIPRO</t>
  </si>
  <si>
    <t>SARL BATI</t>
  </si>
  <si>
    <t>TOP MATERIAUX</t>
  </si>
  <si>
    <t>MED MATERIAUX</t>
  </si>
  <si>
    <t>STOCKMATERIAUX</t>
  </si>
  <si>
    <t>BIOMATERIAUX GROUP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</si>
</sst>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\ \€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E7E6E6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/>
    <xf numFmtId="164" fontId="0" fillId="0" borderId="0" xfId="0" applyNumberFormat="1"/>
    <xf numFmtId="0" fontId="2" fillId="4" borderId="0" xfId="0" applyFont="1" applyFill="1"/>
    <xf numFmtId="4" fontId="0" fillId="0" borderId="0" xfId="0" applyNumberFormat="1"/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4" fillId="0" borderId="0" xfId="0" applyFont="1"/>
    <xf numFmtId="0" fontId="5" fillId="0" borderId="0" xfId="0" applyFont="1"/>
    <xf numFmtId="0" fontId="2" fillId="4" borderId="0" xfId="0" applyFont="1" applyFill="1" applyAlignment="1">
      <alignment horizontal="center" wrapText="1"/>
    </xf>
    <xf numFmtId="1" fontId="0" fillId="0" borderId="0" xfId="0" applyNumberFormat="1"/>
    <xf numFmtId="0" fontId="2" fillId="4" borderId="0" xfId="0" applyFont="1" applyFill="1" applyAlignment="1">
      <alignment horizontal="center"/>
    </xf>
    <xf numFmtId="0" fontId="6" fillId="3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35" customWidth="1"/>
    <col min="2" max="2" width="25" customWidth="1"/>
    <col min="3" max="4" width="15" customWidth="1"/>
  </cols>
  <sheetData>
    <row r="1" spans="1:4" ht="19" x14ac:dyDescent="0.25">
      <c r="A1" s="16" t="s">
        <v>0</v>
      </c>
      <c r="B1" s="15"/>
      <c r="C1" s="15"/>
      <c r="D1" s="15"/>
    </row>
    <row r="3" spans="1:4" x14ac:dyDescent="0.2">
      <c r="A3" s="1" t="s">
        <v>1</v>
      </c>
      <c r="B3" t="s">
        <v>139</v>
      </c>
    </row>
    <row r="4" spans="1:4" x14ac:dyDescent="0.2">
      <c r="A4" s="1" t="s">
        <v>2</v>
      </c>
      <c r="B4" t="s">
        <v>140</v>
      </c>
    </row>
    <row r="5" spans="1:4" x14ac:dyDescent="0.2">
      <c r="A5" s="1" t="s">
        <v>3</v>
      </c>
      <c r="B5" t="s">
        <v>4</v>
      </c>
    </row>
    <row r="6" spans="1:4" x14ac:dyDescent="0.2">
      <c r="A6" s="1" t="s">
        <v>5</v>
      </c>
      <c r="B6" t="s">
        <v>6</v>
      </c>
    </row>
    <row r="8" spans="1:4" ht="16" x14ac:dyDescent="0.2">
      <c r="A8" s="14" t="s">
        <v>7</v>
      </c>
      <c r="B8" s="15"/>
      <c r="C8" s="15"/>
      <c r="D8" s="15"/>
    </row>
    <row r="10" spans="1:4" x14ac:dyDescent="0.2">
      <c r="A10" s="1" t="s">
        <v>8</v>
      </c>
      <c r="B10">
        <v>171</v>
      </c>
    </row>
    <row r="11" spans="1:4" x14ac:dyDescent="0.2">
      <c r="A11" s="1" t="s">
        <v>9</v>
      </c>
      <c r="B11">
        <v>149</v>
      </c>
    </row>
    <row r="12" spans="1:4" x14ac:dyDescent="0.2">
      <c r="A12" s="1" t="s">
        <v>10</v>
      </c>
      <c r="B12">
        <f>B10-B11</f>
        <v>22</v>
      </c>
    </row>
    <row r="13" spans="1:4" x14ac:dyDescent="0.2">
      <c r="A13" s="1" t="s">
        <v>11</v>
      </c>
      <c r="B13" s="2">
        <f>B11/B10</f>
        <v>0.87134502923976609</v>
      </c>
    </row>
    <row r="15" spans="1:4" ht="16" x14ac:dyDescent="0.2">
      <c r="A15" s="14" t="s">
        <v>12</v>
      </c>
      <c r="B15" s="15"/>
      <c r="C15" s="15"/>
      <c r="D15" s="15"/>
    </row>
    <row r="17" spans="1:4" x14ac:dyDescent="0.2">
      <c r="A17" s="3" t="s">
        <v>13</v>
      </c>
      <c r="B17" s="3" t="s">
        <v>14</v>
      </c>
      <c r="C17" s="3" t="s">
        <v>15</v>
      </c>
      <c r="D17" s="3" t="s">
        <v>16</v>
      </c>
    </row>
    <row r="18" spans="1:4" x14ac:dyDescent="0.2">
      <c r="A18" t="s">
        <v>17</v>
      </c>
      <c r="B18" t="s">
        <v>18</v>
      </c>
      <c r="C18" s="4">
        <v>149</v>
      </c>
      <c r="D18" t="s">
        <v>19</v>
      </c>
    </row>
    <row r="19" spans="1:4" x14ac:dyDescent="0.2">
      <c r="A19" t="s">
        <v>20</v>
      </c>
      <c r="B19" t="s">
        <v>18</v>
      </c>
      <c r="C19" t="s">
        <v>21</v>
      </c>
      <c r="D19" t="s">
        <v>19</v>
      </c>
    </row>
    <row r="20" spans="1:4" x14ac:dyDescent="0.2">
      <c r="A20" t="s">
        <v>22</v>
      </c>
      <c r="B20" t="s">
        <v>23</v>
      </c>
      <c r="C20" s="4">
        <v>5898.67</v>
      </c>
      <c r="D20" t="s">
        <v>24</v>
      </c>
    </row>
    <row r="22" spans="1:4" ht="16" x14ac:dyDescent="0.2">
      <c r="A22" s="14" t="s">
        <v>25</v>
      </c>
      <c r="B22" s="15"/>
      <c r="C22" s="15"/>
      <c r="D22" s="15"/>
    </row>
    <row r="24" spans="1:4" x14ac:dyDescent="0.2">
      <c r="A24" t="s">
        <v>26</v>
      </c>
      <c r="B24" s="5">
        <f>C20*1.4386/12</f>
        <v>707.15222183333344</v>
      </c>
    </row>
    <row r="25" spans="1:4" x14ac:dyDescent="0.2">
      <c r="A25" s="6" t="s">
        <v>27</v>
      </c>
      <c r="B25" s="7">
        <f>B24</f>
        <v>707.15222183333344</v>
      </c>
    </row>
    <row r="27" spans="1:4" x14ac:dyDescent="0.2">
      <c r="A27" s="8" t="s">
        <v>28</v>
      </c>
      <c r="B27" s="9" t="s">
        <v>29</v>
      </c>
    </row>
  </sheetData>
  <mergeCells count="4">
    <mergeCell ref="A22:D22"/>
    <mergeCell ref="A1:D1"/>
    <mergeCell ref="A8:D8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opLeftCell="A24" workbookViewId="0">
      <selection sqref="A1:E1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5" customWidth="1"/>
    <col min="4" max="4" width="20" customWidth="1"/>
    <col min="5" max="5" width="25" customWidth="1"/>
  </cols>
  <sheetData>
    <row r="1" spans="1:5" ht="19" x14ac:dyDescent="0.25">
      <c r="A1" s="16" t="s">
        <v>30</v>
      </c>
      <c r="B1" s="15"/>
      <c r="C1" s="15"/>
      <c r="D1" s="15"/>
      <c r="E1" s="15"/>
    </row>
    <row r="3" spans="1:5" ht="16" x14ac:dyDescent="0.2">
      <c r="A3" s="10" t="s">
        <v>31</v>
      </c>
      <c r="B3" s="10" t="s">
        <v>32</v>
      </c>
      <c r="C3" s="10" t="s">
        <v>33</v>
      </c>
      <c r="D3" s="10" t="s">
        <v>34</v>
      </c>
      <c r="E3" s="10" t="s">
        <v>35</v>
      </c>
    </row>
    <row r="4" spans="1:5" x14ac:dyDescent="0.2">
      <c r="A4">
        <v>1982</v>
      </c>
      <c r="B4" s="11">
        <v>1</v>
      </c>
      <c r="C4" s="11">
        <v>1</v>
      </c>
      <c r="D4" s="4">
        <v>5.04</v>
      </c>
    </row>
    <row r="5" spans="1:5" x14ac:dyDescent="0.2">
      <c r="A5">
        <v>1983</v>
      </c>
      <c r="B5" s="11">
        <v>0</v>
      </c>
      <c r="C5" s="11">
        <v>0</v>
      </c>
      <c r="D5">
        <v>0</v>
      </c>
      <c r="E5" t="s">
        <v>36</v>
      </c>
    </row>
    <row r="6" spans="1:5" x14ac:dyDescent="0.2">
      <c r="A6">
        <v>1984</v>
      </c>
      <c r="B6" s="11">
        <v>0</v>
      </c>
      <c r="C6" s="11">
        <v>0</v>
      </c>
      <c r="D6" s="4">
        <v>4.07</v>
      </c>
      <c r="E6" t="s">
        <v>36</v>
      </c>
    </row>
    <row r="7" spans="1:5" x14ac:dyDescent="0.2">
      <c r="A7">
        <v>1986</v>
      </c>
      <c r="B7" s="11">
        <v>0</v>
      </c>
      <c r="C7" s="11">
        <v>0</v>
      </c>
      <c r="D7" s="4">
        <v>1.21</v>
      </c>
      <c r="E7" t="s">
        <v>36</v>
      </c>
    </row>
    <row r="8" spans="1:5" x14ac:dyDescent="0.2">
      <c r="A8">
        <v>1987</v>
      </c>
      <c r="B8" s="11">
        <v>4</v>
      </c>
      <c r="C8" s="11">
        <v>4</v>
      </c>
      <c r="D8" s="4">
        <v>36.799999999999997</v>
      </c>
    </row>
    <row r="9" spans="1:5" x14ac:dyDescent="0.2">
      <c r="A9">
        <v>1988</v>
      </c>
      <c r="B9" s="11">
        <v>4</v>
      </c>
      <c r="C9" s="11">
        <v>4</v>
      </c>
      <c r="D9" s="4">
        <v>41.25</v>
      </c>
    </row>
    <row r="10" spans="1:5" x14ac:dyDescent="0.2">
      <c r="A10">
        <v>1989</v>
      </c>
      <c r="B10" s="11">
        <v>4</v>
      </c>
      <c r="C10" s="11">
        <v>4</v>
      </c>
      <c r="D10" s="4">
        <v>68.349999999999994</v>
      </c>
    </row>
    <row r="11" spans="1:5" x14ac:dyDescent="0.2">
      <c r="A11">
        <v>1990</v>
      </c>
      <c r="B11" s="11">
        <v>4</v>
      </c>
      <c r="C11" s="11">
        <v>4</v>
      </c>
      <c r="D11" s="4">
        <v>84.93</v>
      </c>
    </row>
    <row r="12" spans="1:5" x14ac:dyDescent="0.2">
      <c r="A12">
        <v>1991</v>
      </c>
      <c r="B12" s="11">
        <v>4</v>
      </c>
      <c r="C12" s="11">
        <v>4</v>
      </c>
      <c r="D12" s="4">
        <v>92.21</v>
      </c>
    </row>
    <row r="13" spans="1:5" x14ac:dyDescent="0.2">
      <c r="A13">
        <v>1992</v>
      </c>
      <c r="B13" s="11">
        <v>4</v>
      </c>
      <c r="C13" s="11">
        <v>4</v>
      </c>
      <c r="D13" s="4">
        <v>90.99</v>
      </c>
    </row>
    <row r="14" spans="1:5" x14ac:dyDescent="0.2">
      <c r="A14">
        <v>1993</v>
      </c>
      <c r="B14" s="11">
        <v>4</v>
      </c>
      <c r="C14" s="11">
        <v>4</v>
      </c>
      <c r="D14" s="4">
        <v>93.82</v>
      </c>
    </row>
    <row r="15" spans="1:5" x14ac:dyDescent="0.2">
      <c r="A15">
        <v>1994</v>
      </c>
      <c r="B15" s="11">
        <v>4</v>
      </c>
      <c r="C15" s="11">
        <v>4</v>
      </c>
      <c r="D15" s="4">
        <v>93.02</v>
      </c>
    </row>
    <row r="16" spans="1:5" x14ac:dyDescent="0.2">
      <c r="A16">
        <v>1995</v>
      </c>
      <c r="B16" s="11">
        <v>4</v>
      </c>
      <c r="C16" s="11">
        <v>4</v>
      </c>
      <c r="D16" s="4">
        <v>95.85</v>
      </c>
    </row>
    <row r="17" spans="1:4" x14ac:dyDescent="0.2">
      <c r="A17">
        <v>1996</v>
      </c>
      <c r="B17" s="11">
        <v>4</v>
      </c>
      <c r="C17" s="11">
        <v>4</v>
      </c>
      <c r="D17" s="4">
        <v>100.7</v>
      </c>
    </row>
    <row r="18" spans="1:4" x14ac:dyDescent="0.2">
      <c r="A18">
        <v>1997</v>
      </c>
      <c r="B18" s="11">
        <v>4</v>
      </c>
      <c r="C18" s="11">
        <v>4</v>
      </c>
      <c r="D18" s="4">
        <v>105.55</v>
      </c>
    </row>
    <row r="19" spans="1:4" x14ac:dyDescent="0.2">
      <c r="A19">
        <v>1998</v>
      </c>
      <c r="B19" s="11">
        <v>4</v>
      </c>
      <c r="C19" s="11">
        <v>4</v>
      </c>
      <c r="D19" s="4">
        <v>108.38</v>
      </c>
    </row>
    <row r="20" spans="1:4" x14ac:dyDescent="0.2">
      <c r="A20">
        <v>1999</v>
      </c>
      <c r="B20" s="11">
        <v>4</v>
      </c>
      <c r="C20" s="11">
        <v>4</v>
      </c>
      <c r="D20" s="4">
        <v>109.68</v>
      </c>
    </row>
    <row r="21" spans="1:4" x14ac:dyDescent="0.2">
      <c r="A21">
        <v>2000</v>
      </c>
      <c r="B21" s="11">
        <v>4</v>
      </c>
      <c r="C21" s="11">
        <v>4</v>
      </c>
      <c r="D21" s="4">
        <v>106.6</v>
      </c>
    </row>
    <row r="22" spans="1:4" x14ac:dyDescent="0.2">
      <c r="A22">
        <v>2001</v>
      </c>
      <c r="B22" s="11">
        <v>4</v>
      </c>
      <c r="C22" s="11">
        <v>4</v>
      </c>
      <c r="D22" s="4">
        <v>76.739999999999995</v>
      </c>
    </row>
    <row r="23" spans="1:4" x14ac:dyDescent="0.2">
      <c r="A23">
        <v>2002</v>
      </c>
      <c r="B23" s="11">
        <v>4</v>
      </c>
      <c r="C23" s="11">
        <v>4</v>
      </c>
      <c r="D23" s="4">
        <v>69.08</v>
      </c>
    </row>
    <row r="24" spans="1:4" x14ac:dyDescent="0.2">
      <c r="A24">
        <v>2003</v>
      </c>
      <c r="B24" s="11">
        <v>4</v>
      </c>
      <c r="C24" s="11">
        <v>4</v>
      </c>
      <c r="D24" s="4">
        <v>111.22</v>
      </c>
    </row>
    <row r="25" spans="1:4" x14ac:dyDescent="0.2">
      <c r="A25">
        <v>2004</v>
      </c>
      <c r="B25" s="11">
        <v>4</v>
      </c>
      <c r="C25" s="11">
        <v>4</v>
      </c>
      <c r="D25" s="4">
        <v>139.74</v>
      </c>
    </row>
    <row r="26" spans="1:4" x14ac:dyDescent="0.2">
      <c r="A26">
        <v>2005</v>
      </c>
      <c r="B26" s="11">
        <v>4</v>
      </c>
      <c r="C26" s="11">
        <v>4</v>
      </c>
      <c r="D26" s="4">
        <v>101.16</v>
      </c>
    </row>
    <row r="27" spans="1:4" x14ac:dyDescent="0.2">
      <c r="A27">
        <v>2006</v>
      </c>
      <c r="B27" s="11">
        <v>0</v>
      </c>
      <c r="C27" s="11">
        <v>0</v>
      </c>
      <c r="D27" s="4">
        <v>2.52</v>
      </c>
    </row>
    <row r="28" spans="1:4" x14ac:dyDescent="0.2">
      <c r="A28">
        <v>2007</v>
      </c>
      <c r="B28" s="11">
        <v>4</v>
      </c>
      <c r="C28" s="11">
        <v>4</v>
      </c>
      <c r="D28" s="4">
        <v>66.34</v>
      </c>
    </row>
    <row r="29" spans="1:4" x14ac:dyDescent="0.2">
      <c r="A29">
        <v>2008</v>
      </c>
      <c r="B29" s="11">
        <v>4</v>
      </c>
      <c r="C29" s="11">
        <v>4</v>
      </c>
      <c r="D29" s="4">
        <v>102.98</v>
      </c>
    </row>
    <row r="30" spans="1:4" x14ac:dyDescent="0.2">
      <c r="A30">
        <v>2009</v>
      </c>
      <c r="B30" s="11">
        <v>4</v>
      </c>
      <c r="C30" s="11">
        <v>4</v>
      </c>
      <c r="D30" s="4">
        <v>113.78</v>
      </c>
    </row>
    <row r="31" spans="1:4" x14ac:dyDescent="0.2">
      <c r="A31">
        <v>2010</v>
      </c>
      <c r="B31" s="11">
        <v>4</v>
      </c>
      <c r="C31" s="11">
        <v>4</v>
      </c>
      <c r="D31" s="4">
        <v>122.64</v>
      </c>
    </row>
    <row r="32" spans="1:4" x14ac:dyDescent="0.2">
      <c r="A32">
        <v>2011</v>
      </c>
      <c r="B32" s="11">
        <v>4</v>
      </c>
      <c r="C32" s="11">
        <v>4</v>
      </c>
      <c r="D32" s="4">
        <v>134.16999999999999</v>
      </c>
    </row>
    <row r="33" spans="1:4" x14ac:dyDescent="0.2">
      <c r="A33">
        <v>2012</v>
      </c>
      <c r="B33" s="11">
        <v>4</v>
      </c>
      <c r="C33" s="11">
        <v>4</v>
      </c>
      <c r="D33" s="4">
        <v>125.14</v>
      </c>
    </row>
    <row r="34" spans="1:4" x14ac:dyDescent="0.2">
      <c r="A34">
        <v>2013</v>
      </c>
      <c r="B34" s="11">
        <v>4</v>
      </c>
      <c r="C34" s="11">
        <v>4</v>
      </c>
      <c r="D34" s="4">
        <v>184.81</v>
      </c>
    </row>
    <row r="35" spans="1:4" x14ac:dyDescent="0.2">
      <c r="A35">
        <v>2014</v>
      </c>
      <c r="B35" s="11">
        <v>4</v>
      </c>
      <c r="C35" s="11">
        <v>4</v>
      </c>
      <c r="D35" s="4">
        <v>229.15</v>
      </c>
    </row>
    <row r="36" spans="1:4" x14ac:dyDescent="0.2">
      <c r="A36">
        <v>2015</v>
      </c>
      <c r="B36" s="11">
        <v>4</v>
      </c>
      <c r="C36" s="11">
        <v>4</v>
      </c>
      <c r="D36" s="4">
        <v>261.33999999999997</v>
      </c>
    </row>
    <row r="37" spans="1:4" x14ac:dyDescent="0.2">
      <c r="A37">
        <v>2016</v>
      </c>
      <c r="B37" s="11">
        <v>4</v>
      </c>
      <c r="C37" s="11">
        <v>4</v>
      </c>
      <c r="D37" s="4">
        <v>327.05</v>
      </c>
    </row>
    <row r="38" spans="1:4" x14ac:dyDescent="0.2">
      <c r="A38">
        <v>2017</v>
      </c>
      <c r="B38" s="11">
        <v>4</v>
      </c>
      <c r="C38" s="11">
        <v>4</v>
      </c>
      <c r="D38" s="4">
        <v>295.07</v>
      </c>
    </row>
    <row r="39" spans="1:4" x14ac:dyDescent="0.2">
      <c r="A39">
        <v>2018</v>
      </c>
      <c r="B39" s="11">
        <v>4</v>
      </c>
      <c r="C39" s="11">
        <v>4</v>
      </c>
      <c r="D39" s="4">
        <v>302.05</v>
      </c>
    </row>
    <row r="40" spans="1:4" x14ac:dyDescent="0.2">
      <c r="A40">
        <v>2019</v>
      </c>
      <c r="B40" s="11">
        <v>4</v>
      </c>
      <c r="C40" s="11">
        <v>4</v>
      </c>
      <c r="D40" s="4">
        <v>327.52</v>
      </c>
    </row>
    <row r="41" spans="1:4" x14ac:dyDescent="0.2">
      <c r="A41">
        <v>2020</v>
      </c>
      <c r="B41" s="11">
        <v>4</v>
      </c>
      <c r="C41" s="11">
        <v>4</v>
      </c>
      <c r="D41" s="4">
        <v>303.56</v>
      </c>
    </row>
    <row r="42" spans="1:4" x14ac:dyDescent="0.2">
      <c r="A42">
        <v>2021</v>
      </c>
      <c r="B42" s="11">
        <v>4</v>
      </c>
      <c r="C42" s="11">
        <v>4</v>
      </c>
      <c r="D42" s="4">
        <v>332.68</v>
      </c>
    </row>
    <row r="43" spans="1:4" x14ac:dyDescent="0.2">
      <c r="A43">
        <v>2022</v>
      </c>
      <c r="B43" s="11">
        <v>4</v>
      </c>
      <c r="C43" s="11">
        <v>4</v>
      </c>
      <c r="D43" s="4">
        <v>376.31</v>
      </c>
    </row>
    <row r="44" spans="1:4" x14ac:dyDescent="0.2">
      <c r="A44">
        <v>2023</v>
      </c>
      <c r="B44" s="11">
        <v>4</v>
      </c>
      <c r="C44" s="11">
        <v>4</v>
      </c>
      <c r="D44" s="4">
        <v>301.92</v>
      </c>
    </row>
    <row r="45" spans="1:4" x14ac:dyDescent="0.2">
      <c r="A45">
        <v>2024</v>
      </c>
      <c r="B45" s="11">
        <v>4</v>
      </c>
      <c r="C45" s="11">
        <v>4</v>
      </c>
      <c r="D45" s="4">
        <v>253.25</v>
      </c>
    </row>
    <row r="46" spans="1:4" x14ac:dyDescent="0.2">
      <c r="A46" s="6" t="s">
        <v>37</v>
      </c>
      <c r="B46" s="3">
        <f>SUM(B4:B45)</f>
        <v>149</v>
      </c>
      <c r="C46" s="3">
        <f>SUM(C4:C45)</f>
        <v>149</v>
      </c>
      <c r="D46" s="3">
        <f>SUM(D4:D45)</f>
        <v>5898.6700000000019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tabSelected="1" workbookViewId="0">
      <selection activeCell="E35" sqref="E35"/>
    </sheetView>
  </sheetViews>
  <sheetFormatPr baseColWidth="10" defaultColWidth="8.83203125" defaultRowHeight="15" x14ac:dyDescent="0.2"/>
  <cols>
    <col min="1" max="1" width="35" customWidth="1"/>
    <col min="2" max="3" width="15" customWidth="1"/>
    <col min="4" max="4" width="20" customWidth="1"/>
    <col min="5" max="5" width="40" customWidth="1"/>
  </cols>
  <sheetData>
    <row r="1" spans="1:5" ht="19" x14ac:dyDescent="0.25">
      <c r="A1" s="16" t="s">
        <v>38</v>
      </c>
      <c r="B1" s="15"/>
      <c r="C1" s="15"/>
      <c r="D1" s="15"/>
      <c r="E1" s="15"/>
    </row>
    <row r="3" spans="1:5" x14ac:dyDescent="0.2">
      <c r="A3" s="12" t="s">
        <v>39</v>
      </c>
      <c r="B3" s="12" t="s">
        <v>40</v>
      </c>
      <c r="C3" s="12" t="s">
        <v>41</v>
      </c>
      <c r="D3" s="12" t="s">
        <v>42</v>
      </c>
      <c r="E3" s="12" t="s">
        <v>43</v>
      </c>
    </row>
    <row r="4" spans="1:5" x14ac:dyDescent="0.2">
      <c r="A4" t="s">
        <v>141</v>
      </c>
      <c r="B4" t="s">
        <v>44</v>
      </c>
      <c r="C4" t="s">
        <v>45</v>
      </c>
      <c r="D4" t="s">
        <v>46</v>
      </c>
      <c r="E4" t="s">
        <v>47</v>
      </c>
    </row>
    <row r="5" spans="1:5" x14ac:dyDescent="0.2">
      <c r="A5" t="s">
        <v>48</v>
      </c>
      <c r="B5" t="s">
        <v>49</v>
      </c>
      <c r="C5" t="s">
        <v>50</v>
      </c>
      <c r="D5" t="s">
        <v>51</v>
      </c>
      <c r="E5" t="s">
        <v>17</v>
      </c>
    </row>
    <row r="6" spans="1:5" x14ac:dyDescent="0.2">
      <c r="A6" t="s">
        <v>142</v>
      </c>
      <c r="B6" t="s">
        <v>52</v>
      </c>
      <c r="C6" t="s">
        <v>53</v>
      </c>
      <c r="D6" t="s">
        <v>54</v>
      </c>
      <c r="E6" t="s">
        <v>17</v>
      </c>
    </row>
    <row r="7" spans="1:5" x14ac:dyDescent="0.2">
      <c r="A7" t="s">
        <v>143</v>
      </c>
      <c r="B7" t="s">
        <v>55</v>
      </c>
      <c r="C7" t="s">
        <v>56</v>
      </c>
      <c r="E7" t="s">
        <v>22</v>
      </c>
    </row>
    <row r="8" spans="1:5" x14ac:dyDescent="0.2">
      <c r="A8" t="s">
        <v>48</v>
      </c>
      <c r="B8" t="s">
        <v>57</v>
      </c>
      <c r="C8" t="s">
        <v>58</v>
      </c>
      <c r="D8" t="s">
        <v>59</v>
      </c>
      <c r="E8" t="s">
        <v>17</v>
      </c>
    </row>
    <row r="9" spans="1:5" x14ac:dyDescent="0.2">
      <c r="A9" t="s">
        <v>48</v>
      </c>
      <c r="B9" t="s">
        <v>60</v>
      </c>
      <c r="C9" t="s">
        <v>61</v>
      </c>
      <c r="D9" t="s">
        <v>62</v>
      </c>
      <c r="E9" t="s">
        <v>22</v>
      </c>
    </row>
    <row r="10" spans="1:5" x14ac:dyDescent="0.2">
      <c r="A10" t="s">
        <v>144</v>
      </c>
      <c r="B10" t="s">
        <v>63</v>
      </c>
      <c r="C10" t="s">
        <v>61</v>
      </c>
      <c r="D10" t="s">
        <v>64</v>
      </c>
      <c r="E10" t="s">
        <v>17</v>
      </c>
    </row>
    <row r="11" spans="1:5" x14ac:dyDescent="0.2">
      <c r="A11" t="s">
        <v>144</v>
      </c>
      <c r="B11" t="s">
        <v>65</v>
      </c>
      <c r="C11" t="s">
        <v>66</v>
      </c>
      <c r="D11" t="s">
        <v>67</v>
      </c>
      <c r="E11" t="s">
        <v>47</v>
      </c>
    </row>
    <row r="12" spans="1:5" x14ac:dyDescent="0.2">
      <c r="A12" t="s">
        <v>68</v>
      </c>
      <c r="B12" t="s">
        <v>69</v>
      </c>
      <c r="C12" t="s">
        <v>70</v>
      </c>
      <c r="E12" t="s">
        <v>17</v>
      </c>
    </row>
    <row r="13" spans="1:5" x14ac:dyDescent="0.2">
      <c r="A13" t="s">
        <v>71</v>
      </c>
      <c r="B13" t="s">
        <v>72</v>
      </c>
      <c r="C13" t="s">
        <v>73</v>
      </c>
      <c r="D13" t="s">
        <v>74</v>
      </c>
      <c r="E13" t="s">
        <v>47</v>
      </c>
    </row>
    <row r="14" spans="1:5" x14ac:dyDescent="0.2">
      <c r="A14" t="s">
        <v>75</v>
      </c>
      <c r="B14" t="s">
        <v>72</v>
      </c>
      <c r="C14" t="s">
        <v>73</v>
      </c>
      <c r="D14" t="s">
        <v>76</v>
      </c>
      <c r="E14" t="s">
        <v>47</v>
      </c>
    </row>
    <row r="15" spans="1:5" x14ac:dyDescent="0.2">
      <c r="A15" t="s">
        <v>145</v>
      </c>
      <c r="B15" t="s">
        <v>77</v>
      </c>
      <c r="C15" t="s">
        <v>78</v>
      </c>
      <c r="D15" t="s">
        <v>79</v>
      </c>
      <c r="E15" t="s">
        <v>22</v>
      </c>
    </row>
    <row r="16" spans="1:5" x14ac:dyDescent="0.2">
      <c r="A16" t="s">
        <v>146</v>
      </c>
      <c r="B16" t="s">
        <v>77</v>
      </c>
      <c r="C16" t="s">
        <v>78</v>
      </c>
      <c r="D16" t="s">
        <v>80</v>
      </c>
      <c r="E16" t="s">
        <v>17</v>
      </c>
    </row>
    <row r="17" spans="1:5" x14ac:dyDescent="0.2">
      <c r="A17" t="s">
        <v>147</v>
      </c>
      <c r="B17" t="s">
        <v>81</v>
      </c>
      <c r="C17" t="s">
        <v>82</v>
      </c>
      <c r="D17" t="s">
        <v>83</v>
      </c>
      <c r="E17" t="s">
        <v>47</v>
      </c>
    </row>
    <row r="18" spans="1:5" x14ac:dyDescent="0.2">
      <c r="A18" t="s">
        <v>145</v>
      </c>
      <c r="B18" t="s">
        <v>84</v>
      </c>
      <c r="C18" t="s">
        <v>84</v>
      </c>
      <c r="D18" t="s">
        <v>85</v>
      </c>
      <c r="E18" t="s">
        <v>22</v>
      </c>
    </row>
    <row r="19" spans="1:5" x14ac:dyDescent="0.2">
      <c r="A19" t="s">
        <v>148</v>
      </c>
      <c r="B19" t="s">
        <v>86</v>
      </c>
      <c r="C19" t="s">
        <v>87</v>
      </c>
      <c r="D19" t="s">
        <v>88</v>
      </c>
      <c r="E19" t="s">
        <v>47</v>
      </c>
    </row>
    <row r="20" spans="1:5" x14ac:dyDescent="0.2">
      <c r="A20" t="s">
        <v>149</v>
      </c>
      <c r="B20" t="s">
        <v>89</v>
      </c>
      <c r="C20" t="s">
        <v>90</v>
      </c>
      <c r="D20" t="s">
        <v>91</v>
      </c>
      <c r="E20" t="s">
        <v>47</v>
      </c>
    </row>
    <row r="21" spans="1:5" x14ac:dyDescent="0.2">
      <c r="A21" t="s">
        <v>92</v>
      </c>
      <c r="B21" t="s">
        <v>93</v>
      </c>
      <c r="C21" t="s">
        <v>94</v>
      </c>
      <c r="D21" t="s">
        <v>95</v>
      </c>
      <c r="E21" t="s">
        <v>47</v>
      </c>
    </row>
    <row r="22" spans="1:5" x14ac:dyDescent="0.2">
      <c r="A22" t="s">
        <v>149</v>
      </c>
      <c r="B22" t="s">
        <v>96</v>
      </c>
      <c r="C22" t="s">
        <v>97</v>
      </c>
      <c r="D22" t="s">
        <v>98</v>
      </c>
      <c r="E22" t="s">
        <v>47</v>
      </c>
    </row>
    <row r="23" spans="1:5" x14ac:dyDescent="0.2">
      <c r="A23" t="s">
        <v>150</v>
      </c>
      <c r="B23" t="s">
        <v>99</v>
      </c>
      <c r="C23" t="s">
        <v>100</v>
      </c>
      <c r="D23" t="s">
        <v>101</v>
      </c>
      <c r="E23" t="s">
        <v>17</v>
      </c>
    </row>
    <row r="24" spans="1:5" x14ac:dyDescent="0.2">
      <c r="A24" t="s">
        <v>150</v>
      </c>
      <c r="B24" t="s">
        <v>102</v>
      </c>
      <c r="C24" t="s">
        <v>103</v>
      </c>
      <c r="D24" t="s">
        <v>104</v>
      </c>
      <c r="E24" t="s">
        <v>47</v>
      </c>
    </row>
    <row r="25" spans="1:5" x14ac:dyDescent="0.2">
      <c r="A25" t="s">
        <v>151</v>
      </c>
      <c r="B25" t="s">
        <v>105</v>
      </c>
      <c r="C25" t="s">
        <v>106</v>
      </c>
      <c r="D25" t="s">
        <v>107</v>
      </c>
      <c r="E25" t="s">
        <v>22</v>
      </c>
    </row>
    <row r="26" spans="1:5" x14ac:dyDescent="0.2">
      <c r="A26" t="s">
        <v>108</v>
      </c>
      <c r="B26" t="s">
        <v>105</v>
      </c>
      <c r="C26" t="s">
        <v>109</v>
      </c>
      <c r="D26" t="s">
        <v>110</v>
      </c>
      <c r="E26" t="s">
        <v>20</v>
      </c>
    </row>
    <row r="27" spans="1:5" x14ac:dyDescent="0.2">
      <c r="A27" t="s">
        <v>151</v>
      </c>
      <c r="B27" t="s">
        <v>111</v>
      </c>
      <c r="C27" t="s">
        <v>109</v>
      </c>
      <c r="D27" t="s">
        <v>112</v>
      </c>
      <c r="E27" t="s">
        <v>22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selection sqref="A1:D1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4" width="15" customWidth="1"/>
  </cols>
  <sheetData>
    <row r="1" spans="1:4" ht="19" x14ac:dyDescent="0.25">
      <c r="A1" s="16" t="s">
        <v>113</v>
      </c>
      <c r="B1" s="15"/>
      <c r="C1" s="15"/>
      <c r="D1" s="15"/>
    </row>
    <row r="3" spans="1:4" x14ac:dyDescent="0.2">
      <c r="A3" s="13" t="s">
        <v>17</v>
      </c>
    </row>
    <row r="4" spans="1:4" x14ac:dyDescent="0.2">
      <c r="A4" t="s">
        <v>114</v>
      </c>
      <c r="B4" t="s">
        <v>115</v>
      </c>
    </row>
    <row r="5" spans="1:4" x14ac:dyDescent="0.2">
      <c r="B5" t="s">
        <v>116</v>
      </c>
    </row>
    <row r="6" spans="1:4" x14ac:dyDescent="0.2">
      <c r="A6" t="s">
        <v>117</v>
      </c>
      <c r="B6" t="s">
        <v>118</v>
      </c>
    </row>
    <row r="8" spans="1:4" x14ac:dyDescent="0.2">
      <c r="A8" s="13" t="s">
        <v>119</v>
      </c>
    </row>
    <row r="9" spans="1:4" x14ac:dyDescent="0.2">
      <c r="A9" t="s">
        <v>120</v>
      </c>
      <c r="B9" t="s">
        <v>121</v>
      </c>
    </row>
    <row r="10" spans="1:4" x14ac:dyDescent="0.2">
      <c r="A10" t="s">
        <v>122</v>
      </c>
      <c r="B10" t="s">
        <v>123</v>
      </c>
    </row>
    <row r="11" spans="1:4" x14ac:dyDescent="0.2">
      <c r="A11" t="s">
        <v>117</v>
      </c>
      <c r="B11" t="s">
        <v>124</v>
      </c>
    </row>
    <row r="13" spans="1:4" x14ac:dyDescent="0.2">
      <c r="A13" s="13" t="s">
        <v>125</v>
      </c>
    </row>
    <row r="14" spans="1:4" x14ac:dyDescent="0.2">
      <c r="A14" t="s">
        <v>120</v>
      </c>
      <c r="B14" t="s">
        <v>126</v>
      </c>
    </row>
    <row r="15" spans="1:4" x14ac:dyDescent="0.2">
      <c r="A15" s="13" t="s">
        <v>127</v>
      </c>
    </row>
    <row r="16" spans="1:4" x14ac:dyDescent="0.2">
      <c r="A16" t="s">
        <v>122</v>
      </c>
      <c r="B16" t="s">
        <v>128</v>
      </c>
    </row>
    <row r="17" spans="1:2" x14ac:dyDescent="0.2">
      <c r="A17" t="s">
        <v>117</v>
      </c>
      <c r="B17" t="s">
        <v>129</v>
      </c>
    </row>
    <row r="18" spans="1:2" x14ac:dyDescent="0.2">
      <c r="B18" t="s">
        <v>130</v>
      </c>
    </row>
    <row r="19" spans="1:2" x14ac:dyDescent="0.2">
      <c r="A19" t="s">
        <v>131</v>
      </c>
      <c r="B19" t="s">
        <v>132</v>
      </c>
    </row>
    <row r="21" spans="1:2" x14ac:dyDescent="0.2">
      <c r="A21" s="13" t="s">
        <v>133</v>
      </c>
    </row>
    <row r="22" spans="1:2" x14ac:dyDescent="0.2">
      <c r="A22" t="s">
        <v>28</v>
      </c>
      <c r="B22" t="s">
        <v>134</v>
      </c>
    </row>
    <row r="23" spans="1:2" x14ac:dyDescent="0.2">
      <c r="B23" t="s">
        <v>135</v>
      </c>
    </row>
    <row r="24" spans="1:2" x14ac:dyDescent="0.2">
      <c r="A24" t="s">
        <v>136</v>
      </c>
      <c r="B24" t="s">
        <v>137</v>
      </c>
    </row>
    <row r="25" spans="1:2" x14ac:dyDescent="0.2">
      <c r="B25" t="s">
        <v>138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Détail par année</vt:lpstr>
      <vt:lpstr>Carrière détaillée</vt:lpstr>
      <vt:lpstr>Infos régimes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Odet</cp:lastModifiedBy>
  <dcterms:created xsi:type="dcterms:W3CDTF">2025-11-14T10:06:27Z</dcterms:created>
  <dcterms:modified xsi:type="dcterms:W3CDTF">2025-11-14T10:17:20Z</dcterms:modified>
</cp:coreProperties>
</file>